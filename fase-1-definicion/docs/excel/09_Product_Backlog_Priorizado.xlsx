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<sst xmlns="http://schemas.openxmlformats.org/spreadsheetml/2006/main" count="119" uniqueCount="94">
  <si>
    <t xml:space="preserve">Product Backlog Priorizado — Kancha</t>
  </si>
  <si>
    <t xml:space="preserve">Portafolio de Título · Fase 1 · MoSCoW + Story Points</t>
  </si>
  <si>
    <t xml:space="preserve">Calendario de Sprints Scrum (9 sprints de 2 semanas · 18 semanas totales)</t>
  </si>
  <si>
    <t xml:space="preserve">Sprint</t>
  </si>
  <si>
    <t xml:space="preserve">Semanas</t>
  </si>
  <si>
    <t xml:space="preserve">Fase</t>
  </si>
  <si>
    <t xml:space="preserve">Actividad principal</t>
  </si>
  <si>
    <t xml:space="preserve">Sprint 1</t>
  </si>
  <si>
    <t xml:space="preserve">S1–S2</t>
  </si>
  <si>
    <t xml:space="preserve">Fase 1</t>
  </si>
  <si>
    <t xml:space="preserve">Definición de Proyecto APT</t>
  </si>
  <si>
    <t xml:space="preserve">Sprint 2</t>
  </si>
  <si>
    <t xml:space="preserve">S3–S4</t>
  </si>
  <si>
    <t xml:space="preserve">Formulación Guía 1 (esta entrega)</t>
  </si>
  <si>
    <t xml:space="preserve">Sprint 3</t>
  </si>
  <si>
    <t xml:space="preserve">S5–S6</t>
  </si>
  <si>
    <t xml:space="preserve">Fase 2</t>
  </si>
  <si>
    <t xml:space="preserve">Modelo de Datos y Diagramas UML</t>
  </si>
  <si>
    <t xml:space="preserve">Sprint 4</t>
  </si>
  <si>
    <t xml:space="preserve">S7–S8</t>
  </si>
  <si>
    <t xml:space="preserve">Desarrollo Backend (parte 1)</t>
  </si>
  <si>
    <t xml:space="preserve">Sprint 5</t>
  </si>
  <si>
    <t xml:space="preserve">S9–S10</t>
  </si>
  <si>
    <t xml:space="preserve">Desarrollo Backend (parte 2) y lógica de pagos/honor</t>
  </si>
  <si>
    <t xml:space="preserve">Sprint 6</t>
  </si>
  <si>
    <t xml:space="preserve">S11–S12</t>
  </si>
  <si>
    <t xml:space="preserve">Desarrollo Frontend e integración de mapa</t>
  </si>
  <si>
    <t xml:space="preserve">Sprint 7</t>
  </si>
  <si>
    <t xml:space="preserve">S13–S14</t>
  </si>
  <si>
    <t xml:space="preserve">Pruebas (C1) y contenedores Docker</t>
  </si>
  <si>
    <t xml:space="preserve">Sprint 8</t>
  </si>
  <si>
    <t xml:space="preserve">S15–S16</t>
  </si>
  <si>
    <t xml:space="preserve">Fase 3</t>
  </si>
  <si>
    <t xml:space="preserve">Despliegue</t>
  </si>
  <si>
    <t xml:space="preserve">Sprint 9</t>
  </si>
  <si>
    <t xml:space="preserve">S17–S18</t>
  </si>
  <si>
    <t xml:space="preserve">Preparación y presentación ante comisión</t>
  </si>
  <si>
    <t xml:space="preserve">Backlog priorizado por Sprint</t>
  </si>
  <si>
    <t xml:space="preserve">#</t>
  </si>
  <si>
    <t xml:space="preserve">ID</t>
  </si>
  <si>
    <t xml:space="preserve">Historia de Usuario</t>
  </si>
  <si>
    <t xml:space="preserve">Épica</t>
  </si>
  <si>
    <t xml:space="preserve">MoSCoW</t>
  </si>
  <si>
    <t xml:space="preserve">Story Points</t>
  </si>
  <si>
    <t xml:space="preserve">Sprint asignado</t>
  </si>
  <si>
    <t xml:space="preserve">HU-01</t>
  </si>
  <si>
    <t xml:space="preserve">Registro de agente libre</t>
  </si>
  <si>
    <t xml:space="preserve">E1</t>
  </si>
  <si>
    <t xml:space="preserve">Must have</t>
  </si>
  <si>
    <t xml:space="preserve">Sprint 4 (S7–S8)</t>
  </si>
  <si>
    <t xml:space="preserve">HU-03</t>
  </si>
  <si>
    <t xml:space="preserve">Publicar partido con cupos incompletos</t>
  </si>
  <si>
    <t xml:space="preserve">E3</t>
  </si>
  <si>
    <t xml:space="preserve">HU-06</t>
  </si>
  <si>
    <t xml:space="preserve">Calificar compañeros post-partido</t>
  </si>
  <si>
    <t xml:space="preserve">E6</t>
  </si>
  <si>
    <t xml:space="preserve">Sprint 5 (S9–S10)</t>
  </si>
  <si>
    <t xml:space="preserve">HU-08</t>
  </si>
  <si>
    <t xml:space="preserve">Reserva con pago fraccionado</t>
  </si>
  <si>
    <t xml:space="preserve">E7</t>
  </si>
  <si>
    <t xml:space="preserve">HU-09</t>
  </si>
  <si>
    <t xml:space="preserve">Retención por deserción</t>
  </si>
  <si>
    <t xml:space="preserve">E8</t>
  </si>
  <si>
    <t xml:space="preserve">Should have</t>
  </si>
  <si>
    <t xml:space="preserve">HU-07</t>
  </si>
  <si>
    <t xml:space="preserve">Cálculo automático de puntaje de honor</t>
  </si>
  <si>
    <t xml:space="preserve">HU-04</t>
  </si>
  <si>
    <t xml:space="preserve">Buscar partidos cercanos en el mapa</t>
  </si>
  <si>
    <t xml:space="preserve">E4</t>
  </si>
  <si>
    <t xml:space="preserve">Sprint 6 (S11–S12)</t>
  </si>
  <si>
    <t xml:space="preserve">HU-05</t>
  </si>
  <si>
    <t xml:space="preserve">Postularme a un partido</t>
  </si>
  <si>
    <t xml:space="preserve">E5</t>
  </si>
  <si>
    <t xml:space="preserve">HU-02</t>
  </si>
  <si>
    <t xml:space="preserve">Perfil tipo carta de jugador</t>
  </si>
  <si>
    <t xml:space="preserve">E2</t>
  </si>
  <si>
    <t xml:space="preserve">HU-10</t>
  </si>
  <si>
    <t xml:space="preserve">Notificación de cupo disponible</t>
  </si>
  <si>
    <t xml:space="preserve">E9</t>
  </si>
  <si>
    <t xml:space="preserve">Could have</t>
  </si>
  <si>
    <t xml:space="preserve">Sprint 7 (S13–S14)</t>
  </si>
  <si>
    <t xml:space="preserve">HU-11</t>
  </si>
  <si>
    <t xml:space="preserve">Moderar reportes de usuarios</t>
  </si>
  <si>
    <t xml:space="preserve">E10</t>
  </si>
  <si>
    <t xml:space="preserve">Won't have</t>
  </si>
  <si>
    <t xml:space="preserve">Backlog futuro (post Fase 3)</t>
  </si>
  <si>
    <t xml:space="preserve">TOTAL Story Points</t>
  </si>
  <si>
    <t xml:space="preserve">Distribución de Story Points por nivel MoSCoW</t>
  </si>
  <si>
    <t xml:space="preserve">Nivel MoSCoW</t>
  </si>
  <si>
    <t xml:space="preserve">Criterio</t>
  </si>
  <si>
    <t xml:space="preserve">Sin estas historias, el flujo principal del MVP no es funcional (walking skeleton).</t>
  </si>
  <si>
    <t xml:space="preserve">Refuerzan la propuesta de valor y la sostenibilidad, pero el MVP básico funciona sin ellas.</t>
  </si>
  <si>
    <t xml:space="preserve">Mejoras de engagement, deseables si queda capacidad en los sprints.</t>
  </si>
  <si>
    <t xml:space="preserve">Fuera del alcance del MVP; se planifican para releases posteriores.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</si>
</sst>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6F5C"/>
      <name val="Calibri"/>
      <family val="0"/>
      <charset val="1"/>
    </font>
    <font>
      <i val="true"/>
      <sz val="10"/>
      <color rgb="FF22333B"/>
      <name val="Calibri"/>
      <family val="0"/>
      <charset val="1"/>
    </font>
    <font>
      <b val="true"/>
      <sz val="10"/>
      <color rgb="FF22333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22333B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5C"/>
        <bgColor rgb="FF008080"/>
      </patternFill>
    </fill>
    <fill>
      <patternFill patternType="solid">
        <fgColor rgb="FFF2F0E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5C"/>
      <rgbColor rgb="FFC0C0C0"/>
      <rgbColor rgb="FF808080"/>
      <rgbColor rgb="FF9999FF"/>
      <rgbColor rgb="FF993366"/>
      <rgbColor rgb="FFF2F0E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33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true" rightToLeft="false" tabSelected="true" showOutlineSymbols="true" defaultGridColor="true" view="normal" topLeftCell="A33" colorId="64" zoomScale="100" zoomScaleNormal="100" zoomScalePageLayoutView="100" workbookViewId="0">
      <selection pane="topLeft" activeCell="L27" activeCellId="0" sqref="L27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4.57"/>
    <col collapsed="false" customWidth="true" hidden="false" outlineLevel="0" max="2" min="2" style="0" width="29"/>
    <col collapsed="false" customWidth="true" hidden="false" outlineLevel="0" max="4" min="3" style="0" width="3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2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5" t="s">
        <v>8</v>
      </c>
      <c r="C6" s="5" t="s">
        <v>9</v>
      </c>
      <c r="D6" s="6" t="s">
        <v>10</v>
      </c>
    </row>
    <row r="7" customFormat="false" ht="15" hidden="false" customHeight="false" outlineLevel="0" collapsed="false">
      <c r="A7" s="7" t="s">
        <v>11</v>
      </c>
      <c r="B7" s="7" t="s">
        <v>12</v>
      </c>
      <c r="C7" s="7" t="s">
        <v>9</v>
      </c>
      <c r="D7" s="8" t="s">
        <v>13</v>
      </c>
    </row>
    <row r="8" customFormat="false" ht="15" hidden="false" customHeight="false" outlineLevel="0" collapsed="false">
      <c r="A8" s="5" t="s">
        <v>14</v>
      </c>
      <c r="B8" s="5" t="s">
        <v>15</v>
      </c>
      <c r="C8" s="5" t="s">
        <v>16</v>
      </c>
      <c r="D8" s="6" t="s">
        <v>17</v>
      </c>
    </row>
    <row r="9" customFormat="false" ht="15" hidden="false" customHeight="false" outlineLevel="0" collapsed="false">
      <c r="A9" s="7" t="s">
        <v>18</v>
      </c>
      <c r="B9" s="7" t="s">
        <v>19</v>
      </c>
      <c r="C9" s="7" t="s">
        <v>16</v>
      </c>
      <c r="D9" s="8" t="s">
        <v>20</v>
      </c>
    </row>
    <row r="10" customFormat="false" ht="25.5" hidden="false" customHeight="true" outlineLevel="0" collapsed="false">
      <c r="A10" s="5" t="s">
        <v>21</v>
      </c>
      <c r="B10" s="5" t="s">
        <v>22</v>
      </c>
      <c r="C10" s="5" t="s">
        <v>16</v>
      </c>
      <c r="D10" s="6" t="s">
        <v>23</v>
      </c>
    </row>
    <row r="11" customFormat="false" ht="25.5" hidden="false" customHeight="true" outlineLevel="0" collapsed="false">
      <c r="A11" s="7" t="s">
        <v>24</v>
      </c>
      <c r="B11" s="7" t="s">
        <v>25</v>
      </c>
      <c r="C11" s="7" t="s">
        <v>16</v>
      </c>
      <c r="D11" s="8" t="s">
        <v>26</v>
      </c>
    </row>
    <row r="12" customFormat="false" ht="15" hidden="false" customHeight="false" outlineLevel="0" collapsed="false">
      <c r="A12" s="5" t="s">
        <v>27</v>
      </c>
      <c r="B12" s="5" t="s">
        <v>28</v>
      </c>
      <c r="C12" s="5" t="s">
        <v>16</v>
      </c>
      <c r="D12" s="6" t="s">
        <v>29</v>
      </c>
    </row>
    <row r="13" customFormat="false" ht="15" hidden="false" customHeight="false" outlineLevel="0" collapsed="false">
      <c r="A13" s="7" t="s">
        <v>30</v>
      </c>
      <c r="B13" s="7" t="s">
        <v>31</v>
      </c>
      <c r="C13" s="7" t="s">
        <v>32</v>
      </c>
      <c r="D13" s="8" t="s">
        <v>33</v>
      </c>
    </row>
    <row r="14" customFormat="false" ht="25.5" hidden="false" customHeight="true" outlineLevel="0" collapsed="false">
      <c r="A14" s="5" t="s">
        <v>34</v>
      </c>
      <c r="B14" s="5" t="s">
        <v>35</v>
      </c>
      <c r="C14" s="5" t="s">
        <v>32</v>
      </c>
      <c r="D14" s="6" t="s">
        <v>36</v>
      </c>
    </row>
    <row r="17" customFormat="false" ht="15" hidden="false" customHeight="false" outlineLevel="0" collapsed="false">
      <c r="A17" s="3" t="s">
        <v>37</v>
      </c>
    </row>
    <row r="18" customFormat="false" ht="15" hidden="false" customHeight="false" outlineLevel="0" collapsed="false">
      <c r="A18" s="4" t="s">
        <v>38</v>
      </c>
      <c r="B18" s="4" t="s">
        <v>39</v>
      </c>
      <c r="C18" s="4" t="s">
        <v>40</v>
      </c>
      <c r="D18" s="4" t="s">
        <v>41</v>
      </c>
      <c r="E18" s="4" t="s">
        <v>42</v>
      </c>
      <c r="F18" s="4" t="s">
        <v>43</v>
      </c>
      <c r="G18" s="4" t="s">
        <v>44</v>
      </c>
    </row>
    <row r="19" customFormat="false" ht="15" hidden="false" customHeight="false" outlineLevel="0" collapsed="false">
      <c r="A19" s="5" t="n">
        <v>1</v>
      </c>
      <c r="B19" s="5" t="s">
        <v>45</v>
      </c>
      <c r="C19" s="6" t="s">
        <v>46</v>
      </c>
      <c r="D19" s="5" t="s">
        <v>47</v>
      </c>
      <c r="E19" s="5" t="s">
        <v>48</v>
      </c>
      <c r="F19" s="5" t="n">
        <v>3</v>
      </c>
      <c r="G19" s="5" t="s">
        <v>49</v>
      </c>
    </row>
    <row r="20" customFormat="false" ht="25.5" hidden="false" customHeight="true" outlineLevel="0" collapsed="false">
      <c r="A20" s="7" t="n">
        <v>2</v>
      </c>
      <c r="B20" s="7" t="s">
        <v>50</v>
      </c>
      <c r="C20" s="8" t="s">
        <v>51</v>
      </c>
      <c r="D20" s="7" t="s">
        <v>52</v>
      </c>
      <c r="E20" s="7" t="s">
        <v>48</v>
      </c>
      <c r="F20" s="7" t="n">
        <v>5</v>
      </c>
      <c r="G20" s="7" t="s">
        <v>49</v>
      </c>
    </row>
    <row r="21" customFormat="false" ht="15" hidden="false" customHeight="false" outlineLevel="0" collapsed="false">
      <c r="A21" s="5" t="n">
        <v>3</v>
      </c>
      <c r="B21" s="5" t="s">
        <v>53</v>
      </c>
      <c r="C21" s="6" t="s">
        <v>54</v>
      </c>
      <c r="D21" s="5" t="s">
        <v>55</v>
      </c>
      <c r="E21" s="5" t="s">
        <v>48</v>
      </c>
      <c r="F21" s="5" t="n">
        <v>5</v>
      </c>
      <c r="G21" s="5" t="s">
        <v>56</v>
      </c>
    </row>
    <row r="22" customFormat="false" ht="15" hidden="false" customHeight="false" outlineLevel="0" collapsed="false">
      <c r="A22" s="7" t="n">
        <v>4</v>
      </c>
      <c r="B22" s="7" t="s">
        <v>57</v>
      </c>
      <c r="C22" s="8" t="s">
        <v>58</v>
      </c>
      <c r="D22" s="7" t="s">
        <v>59</v>
      </c>
      <c r="E22" s="7" t="s">
        <v>48</v>
      </c>
      <c r="F22" s="7" t="n">
        <v>8</v>
      </c>
      <c r="G22" s="7" t="s">
        <v>56</v>
      </c>
    </row>
    <row r="23" customFormat="false" ht="15" hidden="false" customHeight="false" outlineLevel="0" collapsed="false">
      <c r="A23" s="5" t="n">
        <v>5</v>
      </c>
      <c r="B23" s="5" t="s">
        <v>60</v>
      </c>
      <c r="C23" s="6" t="s">
        <v>61</v>
      </c>
      <c r="D23" s="5" t="s">
        <v>62</v>
      </c>
      <c r="E23" s="5" t="s">
        <v>63</v>
      </c>
      <c r="F23" s="5" t="n">
        <v>5</v>
      </c>
      <c r="G23" s="5" t="s">
        <v>56</v>
      </c>
    </row>
    <row r="24" customFormat="false" ht="25.5" hidden="false" customHeight="true" outlineLevel="0" collapsed="false">
      <c r="A24" s="7" t="n">
        <v>6</v>
      </c>
      <c r="B24" s="7" t="s">
        <v>64</v>
      </c>
      <c r="C24" s="8" t="s">
        <v>65</v>
      </c>
      <c r="D24" s="7" t="s">
        <v>55</v>
      </c>
      <c r="E24" s="7" t="s">
        <v>63</v>
      </c>
      <c r="F24" s="7" t="n">
        <v>5</v>
      </c>
      <c r="G24" s="7" t="s">
        <v>56</v>
      </c>
    </row>
    <row r="25" customFormat="false" ht="25.5" hidden="false" customHeight="true" outlineLevel="0" collapsed="false">
      <c r="A25" s="5" t="n">
        <v>7</v>
      </c>
      <c r="B25" s="5" t="s">
        <v>66</v>
      </c>
      <c r="C25" s="6" t="s">
        <v>67</v>
      </c>
      <c r="D25" s="5" t="s">
        <v>68</v>
      </c>
      <c r="E25" s="5" t="s">
        <v>48</v>
      </c>
      <c r="F25" s="5" t="n">
        <v>8</v>
      </c>
      <c r="G25" s="5" t="s">
        <v>69</v>
      </c>
    </row>
    <row r="26" customFormat="false" ht="15" hidden="false" customHeight="false" outlineLevel="0" collapsed="false">
      <c r="A26" s="7" t="n">
        <v>8</v>
      </c>
      <c r="B26" s="7" t="s">
        <v>70</v>
      </c>
      <c r="C26" s="8" t="s">
        <v>71</v>
      </c>
      <c r="D26" s="7" t="s">
        <v>72</v>
      </c>
      <c r="E26" s="7" t="s">
        <v>48</v>
      </c>
      <c r="F26" s="7" t="n">
        <v>3</v>
      </c>
      <c r="G26" s="7" t="s">
        <v>69</v>
      </c>
    </row>
    <row r="27" customFormat="false" ht="15" hidden="false" customHeight="false" outlineLevel="0" collapsed="false">
      <c r="A27" s="5" t="n">
        <v>9</v>
      </c>
      <c r="B27" s="5" t="s">
        <v>73</v>
      </c>
      <c r="C27" s="6" t="s">
        <v>74</v>
      </c>
      <c r="D27" s="5" t="s">
        <v>75</v>
      </c>
      <c r="E27" s="5" t="s">
        <v>63</v>
      </c>
      <c r="F27" s="5" t="n">
        <v>5</v>
      </c>
      <c r="G27" s="5" t="s">
        <v>69</v>
      </c>
    </row>
    <row r="28" customFormat="false" ht="15" hidden="false" customHeight="false" outlineLevel="0" collapsed="false">
      <c r="A28" s="7" t="n">
        <v>10</v>
      </c>
      <c r="B28" s="7" t="s">
        <v>76</v>
      </c>
      <c r="C28" s="8" t="s">
        <v>77</v>
      </c>
      <c r="D28" s="7" t="s">
        <v>78</v>
      </c>
      <c r="E28" s="7" t="s">
        <v>79</v>
      </c>
      <c r="F28" s="7" t="n">
        <v>3</v>
      </c>
      <c r="G28" s="7" t="s">
        <v>80</v>
      </c>
    </row>
    <row r="29" customFormat="false" ht="25.5" hidden="false" customHeight="true" outlineLevel="0" collapsed="false">
      <c r="A29" s="5" t="n">
        <v>11</v>
      </c>
      <c r="B29" s="5" t="s">
        <v>81</v>
      </c>
      <c r="C29" s="6" t="s">
        <v>82</v>
      </c>
      <c r="D29" s="5" t="s">
        <v>83</v>
      </c>
      <c r="E29" s="5" t="s">
        <v>84</v>
      </c>
      <c r="F29" s="5" t="n">
        <v>5</v>
      </c>
      <c r="G29" s="5" t="s">
        <v>85</v>
      </c>
    </row>
    <row r="31" customFormat="false" ht="15" hidden="false" customHeight="false" outlineLevel="0" collapsed="false">
      <c r="A31" s="9" t="s">
        <v>86</v>
      </c>
      <c r="B31" s="9"/>
      <c r="C31" s="9"/>
      <c r="D31" s="9"/>
      <c r="E31" s="9"/>
      <c r="F31" s="10" t="n">
        <f aca="false">SUM(F19:F29)</f>
        <v>55</v>
      </c>
    </row>
    <row r="33" customFormat="false" ht="15" hidden="false" customHeight="false" outlineLevel="0" collapsed="false">
      <c r="A33" s="3" t="s">
        <v>87</v>
      </c>
    </row>
    <row r="34" customFormat="false" ht="45" hidden="false" customHeight="true" outlineLevel="0" collapsed="false">
      <c r="A34" s="4" t="s">
        <v>88</v>
      </c>
      <c r="B34" s="4" t="s">
        <v>89</v>
      </c>
      <c r="C34" s="4" t="s">
        <v>43</v>
      </c>
    </row>
    <row r="35" customFormat="false" ht="165.75" hidden="false" customHeight="true" outlineLevel="0" collapsed="false">
      <c r="A35" s="11" t="s">
        <v>48</v>
      </c>
      <c r="B35" s="6" t="s">
        <v>90</v>
      </c>
      <c r="C35" s="5" t="n">
        <f aca="false">SUMIF(E19:E29,"Must have",F19:F29)</f>
        <v>32</v>
      </c>
    </row>
    <row r="36" customFormat="false" ht="178.5" hidden="false" customHeight="true" outlineLevel="0" collapsed="false">
      <c r="A36" s="12" t="s">
        <v>63</v>
      </c>
      <c r="B36" s="8" t="s">
        <v>91</v>
      </c>
      <c r="C36" s="7" t="n">
        <f aca="false">SUMIF(E19:E29,"Should have",F19:F29)</f>
        <v>15</v>
      </c>
    </row>
    <row r="37" customFormat="false" ht="140.25" hidden="false" customHeight="true" outlineLevel="0" collapsed="false">
      <c r="A37" s="11" t="s">
        <v>79</v>
      </c>
      <c r="B37" s="6" t="s">
        <v>92</v>
      </c>
      <c r="C37" s="5" t="n">
        <f aca="false">SUMIF(E19:E29,"Could have",F19:F29)</f>
        <v>3</v>
      </c>
    </row>
    <row r="38" customFormat="false" ht="127.5" hidden="false" customHeight="true" outlineLevel="0" collapsed="false">
      <c r="A38" s="12" t="s">
        <v>84</v>
      </c>
      <c r="B38" s="8" t="s">
        <v>93</v>
      </c>
      <c r="C38" s="7" t="n">
        <f aca="false">SUMIF(E19:E29,"Won't have",F19:F29)</f>
        <v>5</v>
      </c>
    </row>
  </sheetData>
  <mergeCells count="3">
    <mergeCell ref="A1:G1"/>
    <mergeCell ref="A2:G2"/>
    <mergeCell ref="A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2026-08-30T16:56:01Z</dcterms:created>
  <dc:creator>openpyxl</dc:creator>
  <dc:description/>
  <dc:language>en-US</dc:language>
  <cp:lastModifiedBy>LUKAS ALEJANDRO GUERRERO ESPINDOLA</cp:lastModifiedBy>
  <dcterms:modified xsi:type="dcterms:W3CDTF">2026-10-04T20:57:32Z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