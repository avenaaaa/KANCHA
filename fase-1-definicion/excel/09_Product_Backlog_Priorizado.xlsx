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err\Desktop\Entrega fase 1\"/>
    </mc:Choice>
  </mc:AlternateContent>
  <xr:revisionPtr revIDLastSave="0" documentId="13_ncr:1_{8D682E6C-5BB2-48E8-AE3E-D843C4B3A620}" xr6:coauthVersionLast="47" xr6:coauthVersionMax="47" xr10:uidLastSave="{00000000-0000-0000-0000-000000000000}"/>
  <bookViews>
    <workbookView xWindow="1815" yWindow="1815" windowWidth="21600" windowHeight="11295" tabRatio="500" xr2:uid="{00000000-000D-0000-FFFF-FFFF00000000}"/>
  </bookViews>
  <sheets>
    <sheet name="Backlo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8" i="1" l="1"/>
  <c r="C37" i="1"/>
  <c r="C36" i="1"/>
  <c r="C35" i="1"/>
  <c r="F31" i="1"/>
</calcChain>
</file>

<file path=xl/sharedStrings.xml><?xml version="1.0" encoding="utf-8"?>
<sst xmlns="http://schemas.openxmlformats.org/spreadsheetml/2006/main" count="119" uniqueCount="90">
  <si>
    <t>Product Backlog Priorizado — Kancha</t>
  </si>
  <si>
    <t>Portafolio de Título · Fase 1 · MoSCoW + Story Points</t>
  </si>
  <si>
    <t>Calendario de Sprints Scrum (9 sprints de 2 semanas · 18 semanas totales)</t>
  </si>
  <si>
    <t>Sprint</t>
  </si>
  <si>
    <t>Semanas</t>
  </si>
  <si>
    <t>Fase</t>
  </si>
  <si>
    <t>Actividad principal</t>
  </si>
  <si>
    <t>Sprint 1</t>
  </si>
  <si>
    <t>S1–S2</t>
  </si>
  <si>
    <t>Fase 1</t>
  </si>
  <si>
    <t>Definición de Proyecto APT</t>
  </si>
  <si>
    <t>Sprint 2</t>
  </si>
  <si>
    <t>S3–S4</t>
  </si>
  <si>
    <t>Formulación Guía 1 (esta entrega)</t>
  </si>
  <si>
    <t>Sprint 3</t>
  </si>
  <si>
    <t>S5–S6</t>
  </si>
  <si>
    <t>Fase 2</t>
  </si>
  <si>
    <t>Modelo de Datos y Diagramas UML</t>
  </si>
  <si>
    <t>Sprint 4</t>
  </si>
  <si>
    <t>S7–S8</t>
  </si>
  <si>
    <t>Desarrollo Backend (parte 1)</t>
  </si>
  <si>
    <t>Sprint 5</t>
  </si>
  <si>
    <t>S9–S10</t>
  </si>
  <si>
    <t>Desarrollo Backend (parte 2) y lógica de pagos/honor</t>
  </si>
  <si>
    <t>Sprint 6</t>
  </si>
  <si>
    <t>S11–S12</t>
  </si>
  <si>
    <t>Desarrollo Frontend e integración de mapa</t>
  </si>
  <si>
    <t>Sprint 7</t>
  </si>
  <si>
    <t>S13–S14</t>
  </si>
  <si>
    <t>Pruebas (C1) y contenedores Docker</t>
  </si>
  <si>
    <t>Sprint 8</t>
  </si>
  <si>
    <t>S15–S16</t>
  </si>
  <si>
    <t>Fase 3</t>
  </si>
  <si>
    <t>Despliegue</t>
  </si>
  <si>
    <t>Sprint 9</t>
  </si>
  <si>
    <t>S17–S18</t>
  </si>
  <si>
    <t>Preparación y presentación ante comisión</t>
  </si>
  <si>
    <t>Backlog priorizado por Sprint</t>
  </si>
  <si>
    <t>#</t>
  </si>
  <si>
    <t>ID</t>
  </si>
  <si>
    <t>Historia de Usuario</t>
  </si>
  <si>
    <t>Épica</t>
  </si>
  <si>
    <t>MoSCoW</t>
  </si>
  <si>
    <t>Story Points</t>
  </si>
  <si>
    <t>Sprint asignado</t>
  </si>
  <si>
    <t>HU-01</t>
  </si>
  <si>
    <t>Registro de agente libre</t>
  </si>
  <si>
    <t>E1</t>
  </si>
  <si>
    <t>Must have</t>
  </si>
  <si>
    <t>Sprint 4 (S7–S8)</t>
  </si>
  <si>
    <t>HU-03</t>
  </si>
  <si>
    <t>Publicar partido con cupos incompletos</t>
  </si>
  <si>
    <t>E2</t>
  </si>
  <si>
    <t>HU-06</t>
  </si>
  <si>
    <t>Calificar compañeros post-partido</t>
  </si>
  <si>
    <t>E3</t>
  </si>
  <si>
    <t>Sprint 5 (S9–S10)</t>
  </si>
  <si>
    <t>HU-08</t>
  </si>
  <si>
    <t>Reserva con pago fraccionado</t>
  </si>
  <si>
    <t>E4</t>
  </si>
  <si>
    <t>HU-09</t>
  </si>
  <si>
    <t>Retención por deserción</t>
  </si>
  <si>
    <t>Should have</t>
  </si>
  <si>
    <t>HU-07</t>
  </si>
  <si>
    <t>Cálculo automático de puntaje de honor</t>
  </si>
  <si>
    <t>HU-04</t>
  </si>
  <si>
    <t>Buscar partidos cercanos en el mapa</t>
  </si>
  <si>
    <t>Sprint 6 (S11–S12)</t>
  </si>
  <si>
    <t>HU-05</t>
  </si>
  <si>
    <t>Postularme a un partido</t>
  </si>
  <si>
    <t>HU-02</t>
  </si>
  <si>
    <t>Perfil tipo carta de jugador</t>
  </si>
  <si>
    <t>HU-10</t>
  </si>
  <si>
    <t>Notificación de cupo disponible</t>
  </si>
  <si>
    <t>E5</t>
  </si>
  <si>
    <t>Could have</t>
  </si>
  <si>
    <t>Sprint 7 (S13–S14)</t>
  </si>
  <si>
    <t>HU-11</t>
  </si>
  <si>
    <t>Moderar reportes de usuarios</t>
  </si>
  <si>
    <t>E6</t>
  </si>
  <si>
    <t>Won't have</t>
  </si>
  <si>
    <t>Backlog futuro (post Fase 3)</t>
  </si>
  <si>
    <t>TOTAL Story Points</t>
  </si>
  <si>
    <t>Distribución de Story Points por nivel MoSCoW</t>
  </si>
  <si>
    <t>Nivel MoSCoW</t>
  </si>
  <si>
    <t>Criterio</t>
  </si>
  <si>
    <t>Sin estas historias, el flujo principal del MVP no es funcional (walking skeleton).</t>
  </si>
  <si>
    <t>Refuerzan la propuesta de valor y la sostenibilidad, pero el MVP básico funciona sin ellas.</t>
  </si>
  <si>
    <t>Mejoras de engagement, deseables si queda capacidad en los sprints.</t>
  </si>
  <si>
    <t>Fuera del alcance del MVP; se planifican para releases posteriores.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</si>
</sst>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6"/>
      <color rgb="FF1F6F5C"/>
      <name val="Calibri"/>
      <charset val="1"/>
    </font>
    <font>
      <i/>
      <sz val="10"/>
      <color rgb="FF22333B"/>
      <name val="Calibri"/>
      <charset val="1"/>
    </font>
    <font>
      <b/>
      <sz val="10"/>
      <color rgb="FF22333B"/>
      <name val="Calibri"/>
      <charset val="1"/>
    </font>
    <font>
      <b/>
      <sz val="11"/>
      <color rgb="FFFFFFFF"/>
      <name val="Calibri"/>
      <charset val="1"/>
    </font>
    <font>
      <sz val="10"/>
      <color rgb="FF22333B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5C"/>
        <bgColor rgb="FF008080"/>
      </patternFill>
    </fill>
    <fill>
      <patternFill patternType="solid">
        <fgColor rgb="FFF2F0EA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3" fillId="0" borderId="1" xfId="0" applyFont="1" applyBorder="1"/>
    <xf numFmtId="0" fontId="5" fillId="0" borderId="1" xfId="0" applyFont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808080"/>
      <rgbColor rgb="FF9999FF"/>
      <rgbColor rgb="FF993366"/>
      <rgbColor rgb="FFF2F0E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33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showGridLines="0" tabSelected="1" topLeftCell="A33" zoomScaleNormal="100" workbookViewId="0">
      <selection activeCell="L27" sqref="L27"/>
    </sheetView>
  </sheetViews>
  <sheetFormatPr defaultColWidth="8.7109375" defaultRowHeight="15" x14ac:dyDescent="0.25"/>
  <cols>
    <col min="1" max="1" width="14.5703125" customWidth="1"/>
    <col min="2" max="2" width="29" customWidth="1"/>
    <col min="3" max="4" width="30" customWidth="1"/>
    <col min="5" max="5" width="14" customWidth="1"/>
    <col min="6" max="6" width="12" customWidth="1"/>
    <col min="7" max="7" width="22" customWidth="1"/>
  </cols>
  <sheetData>
    <row r="1" spans="1:7" ht="25.5" customHeight="1" x14ac:dyDescent="0.35">
      <c r="A1" s="3" t="s">
        <v>0</v>
      </c>
      <c r="B1" s="3"/>
      <c r="C1" s="3"/>
      <c r="D1" s="3"/>
      <c r="E1" s="3"/>
      <c r="F1" s="3"/>
      <c r="G1" s="3"/>
    </row>
    <row r="2" spans="1:7" ht="15.75" customHeight="1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4" t="s">
        <v>2</v>
      </c>
    </row>
    <row r="5" spans="1:7" ht="30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7" x14ac:dyDescent="0.25">
      <c r="A6" s="6" t="s">
        <v>7</v>
      </c>
      <c r="B6" s="6" t="s">
        <v>8</v>
      </c>
      <c r="C6" s="6" t="s">
        <v>9</v>
      </c>
      <c r="D6" s="7" t="s">
        <v>10</v>
      </c>
    </row>
    <row r="7" spans="1:7" x14ac:dyDescent="0.25">
      <c r="A7" s="8" t="s">
        <v>11</v>
      </c>
      <c r="B7" s="8" t="s">
        <v>12</v>
      </c>
      <c r="C7" s="8" t="s">
        <v>9</v>
      </c>
      <c r="D7" s="9" t="s">
        <v>13</v>
      </c>
    </row>
    <row r="8" spans="1:7" x14ac:dyDescent="0.25">
      <c r="A8" s="6" t="s">
        <v>14</v>
      </c>
      <c r="B8" s="6" t="s">
        <v>15</v>
      </c>
      <c r="C8" s="6" t="s">
        <v>16</v>
      </c>
      <c r="D8" s="7" t="s">
        <v>17</v>
      </c>
    </row>
    <row r="9" spans="1:7" x14ac:dyDescent="0.25">
      <c r="A9" s="8" t="s">
        <v>18</v>
      </c>
      <c r="B9" s="8" t="s">
        <v>19</v>
      </c>
      <c r="C9" s="8" t="s">
        <v>16</v>
      </c>
      <c r="D9" s="9" t="s">
        <v>20</v>
      </c>
    </row>
    <row r="10" spans="1:7" ht="25.5" x14ac:dyDescent="0.25">
      <c r="A10" s="6" t="s">
        <v>21</v>
      </c>
      <c r="B10" s="6" t="s">
        <v>22</v>
      </c>
      <c r="C10" s="6" t="s">
        <v>16</v>
      </c>
      <c r="D10" s="7" t="s">
        <v>23</v>
      </c>
    </row>
    <row r="11" spans="1:7" ht="25.5" x14ac:dyDescent="0.25">
      <c r="A11" s="8" t="s">
        <v>24</v>
      </c>
      <c r="B11" s="8" t="s">
        <v>25</v>
      </c>
      <c r="C11" s="8" t="s">
        <v>16</v>
      </c>
      <c r="D11" s="9" t="s">
        <v>26</v>
      </c>
    </row>
    <row r="12" spans="1:7" x14ac:dyDescent="0.25">
      <c r="A12" s="6" t="s">
        <v>27</v>
      </c>
      <c r="B12" s="6" t="s">
        <v>28</v>
      </c>
      <c r="C12" s="6" t="s">
        <v>16</v>
      </c>
      <c r="D12" s="7" t="s">
        <v>29</v>
      </c>
    </row>
    <row r="13" spans="1:7" x14ac:dyDescent="0.25">
      <c r="A13" s="8" t="s">
        <v>30</v>
      </c>
      <c r="B13" s="8" t="s">
        <v>31</v>
      </c>
      <c r="C13" s="8" t="s">
        <v>32</v>
      </c>
      <c r="D13" s="9" t="s">
        <v>33</v>
      </c>
    </row>
    <row r="14" spans="1:7" ht="25.5" x14ac:dyDescent="0.25">
      <c r="A14" s="6" t="s">
        <v>34</v>
      </c>
      <c r="B14" s="6" t="s">
        <v>35</v>
      </c>
      <c r="C14" s="6" t="s">
        <v>32</v>
      </c>
      <c r="D14" s="7" t="s">
        <v>36</v>
      </c>
    </row>
    <row r="17" spans="1:7" x14ac:dyDescent="0.25">
      <c r="A17" s="4" t="s">
        <v>37</v>
      </c>
    </row>
    <row r="18" spans="1:7" x14ac:dyDescent="0.25">
      <c r="A18" s="5" t="s">
        <v>38</v>
      </c>
      <c r="B18" s="5" t="s">
        <v>39</v>
      </c>
      <c r="C18" s="5" t="s">
        <v>40</v>
      </c>
      <c r="D18" s="5" t="s">
        <v>41</v>
      </c>
      <c r="E18" s="5" t="s">
        <v>42</v>
      </c>
      <c r="F18" s="5" t="s">
        <v>43</v>
      </c>
      <c r="G18" s="5" t="s">
        <v>44</v>
      </c>
    </row>
    <row r="19" spans="1:7" x14ac:dyDescent="0.25">
      <c r="A19" s="6">
        <v>1</v>
      </c>
      <c r="B19" s="6" t="s">
        <v>45</v>
      </c>
      <c r="C19" s="7" t="s">
        <v>46</v>
      </c>
      <c r="D19" s="6" t="s">
        <v>47</v>
      </c>
      <c r="E19" s="6" t="s">
        <v>48</v>
      </c>
      <c r="F19" s="6">
        <v>3</v>
      </c>
      <c r="G19" s="6" t="s">
        <v>49</v>
      </c>
    </row>
    <row r="20" spans="1:7" ht="25.5" x14ac:dyDescent="0.25">
      <c r="A20" s="8">
        <v>2</v>
      </c>
      <c r="B20" s="8" t="s">
        <v>50</v>
      </c>
      <c r="C20" s="9" t="s">
        <v>51</v>
      </c>
      <c r="D20" s="8" t="s">
        <v>52</v>
      </c>
      <c r="E20" s="8" t="s">
        <v>48</v>
      </c>
      <c r="F20" s="8">
        <v>5</v>
      </c>
      <c r="G20" s="8" t="s">
        <v>49</v>
      </c>
    </row>
    <row r="21" spans="1:7" x14ac:dyDescent="0.25">
      <c r="A21" s="6">
        <v>3</v>
      </c>
      <c r="B21" s="6" t="s">
        <v>53</v>
      </c>
      <c r="C21" s="7" t="s">
        <v>54</v>
      </c>
      <c r="D21" s="6" t="s">
        <v>55</v>
      </c>
      <c r="E21" s="6" t="s">
        <v>48</v>
      </c>
      <c r="F21" s="6">
        <v>5</v>
      </c>
      <c r="G21" s="6" t="s">
        <v>56</v>
      </c>
    </row>
    <row r="22" spans="1:7" x14ac:dyDescent="0.25">
      <c r="A22" s="8">
        <v>4</v>
      </c>
      <c r="B22" s="8" t="s">
        <v>57</v>
      </c>
      <c r="C22" s="9" t="s">
        <v>58</v>
      </c>
      <c r="D22" s="8" t="s">
        <v>59</v>
      </c>
      <c r="E22" s="8" t="s">
        <v>48</v>
      </c>
      <c r="F22" s="8">
        <v>8</v>
      </c>
      <c r="G22" s="8" t="s">
        <v>56</v>
      </c>
    </row>
    <row r="23" spans="1:7" x14ac:dyDescent="0.25">
      <c r="A23" s="6">
        <v>5</v>
      </c>
      <c r="B23" s="6" t="s">
        <v>60</v>
      </c>
      <c r="C23" s="7" t="s">
        <v>61</v>
      </c>
      <c r="D23" s="6" t="s">
        <v>59</v>
      </c>
      <c r="E23" s="6" t="s">
        <v>62</v>
      </c>
      <c r="F23" s="6">
        <v>5</v>
      </c>
      <c r="G23" s="6" t="s">
        <v>56</v>
      </c>
    </row>
    <row r="24" spans="1:7" ht="25.5" x14ac:dyDescent="0.25">
      <c r="A24" s="8">
        <v>6</v>
      </c>
      <c r="B24" s="8" t="s">
        <v>63</v>
      </c>
      <c r="C24" s="9" t="s">
        <v>64</v>
      </c>
      <c r="D24" s="8" t="s">
        <v>55</v>
      </c>
      <c r="E24" s="8" t="s">
        <v>62</v>
      </c>
      <c r="F24" s="8">
        <v>5</v>
      </c>
      <c r="G24" s="8" t="s">
        <v>56</v>
      </c>
    </row>
    <row r="25" spans="1:7" ht="25.5" x14ac:dyDescent="0.25">
      <c r="A25" s="6">
        <v>7</v>
      </c>
      <c r="B25" s="6" t="s">
        <v>65</v>
      </c>
      <c r="C25" s="7" t="s">
        <v>66</v>
      </c>
      <c r="D25" s="6" t="s">
        <v>52</v>
      </c>
      <c r="E25" s="6" t="s">
        <v>48</v>
      </c>
      <c r="F25" s="6">
        <v>8</v>
      </c>
      <c r="G25" s="6" t="s">
        <v>67</v>
      </c>
    </row>
    <row r="26" spans="1:7" x14ac:dyDescent="0.25">
      <c r="A26" s="8">
        <v>8</v>
      </c>
      <c r="B26" s="8" t="s">
        <v>68</v>
      </c>
      <c r="C26" s="9" t="s">
        <v>69</v>
      </c>
      <c r="D26" s="8" t="s">
        <v>52</v>
      </c>
      <c r="E26" s="8" t="s">
        <v>48</v>
      </c>
      <c r="F26" s="8">
        <v>3</v>
      </c>
      <c r="G26" s="8" t="s">
        <v>67</v>
      </c>
    </row>
    <row r="27" spans="1:7" x14ac:dyDescent="0.25">
      <c r="A27" s="6">
        <v>9</v>
      </c>
      <c r="B27" s="6" t="s">
        <v>70</v>
      </c>
      <c r="C27" s="7" t="s">
        <v>71</v>
      </c>
      <c r="D27" s="6" t="s">
        <v>47</v>
      </c>
      <c r="E27" s="6" t="s">
        <v>62</v>
      </c>
      <c r="F27" s="6">
        <v>5</v>
      </c>
      <c r="G27" s="6" t="s">
        <v>67</v>
      </c>
    </row>
    <row r="28" spans="1:7" x14ac:dyDescent="0.25">
      <c r="A28" s="8">
        <v>10</v>
      </c>
      <c r="B28" s="8" t="s">
        <v>72</v>
      </c>
      <c r="C28" s="9" t="s">
        <v>73</v>
      </c>
      <c r="D28" s="8" t="s">
        <v>74</v>
      </c>
      <c r="E28" s="8" t="s">
        <v>75</v>
      </c>
      <c r="F28" s="8">
        <v>3</v>
      </c>
      <c r="G28" s="8" t="s">
        <v>76</v>
      </c>
    </row>
    <row r="29" spans="1:7" ht="25.5" x14ac:dyDescent="0.25">
      <c r="A29" s="6">
        <v>11</v>
      </c>
      <c r="B29" s="6" t="s">
        <v>77</v>
      </c>
      <c r="C29" s="7" t="s">
        <v>78</v>
      </c>
      <c r="D29" s="6" t="s">
        <v>79</v>
      </c>
      <c r="E29" s="6" t="s">
        <v>80</v>
      </c>
      <c r="F29" s="6">
        <v>5</v>
      </c>
      <c r="G29" s="6" t="s">
        <v>81</v>
      </c>
    </row>
    <row r="31" spans="1:7" x14ac:dyDescent="0.25">
      <c r="A31" s="1" t="s">
        <v>82</v>
      </c>
      <c r="B31" s="1"/>
      <c r="C31" s="1"/>
      <c r="D31" s="1"/>
      <c r="E31" s="1"/>
      <c r="F31" s="10">
        <f>SUM(F19:F29)</f>
        <v>55</v>
      </c>
    </row>
    <row r="33" spans="1:3" x14ac:dyDescent="0.25">
      <c r="A33" s="4" t="s">
        <v>83</v>
      </c>
    </row>
    <row r="34" spans="1:3" ht="45" x14ac:dyDescent="0.25">
      <c r="A34" s="5" t="s">
        <v>84</v>
      </c>
      <c r="B34" s="5" t="s">
        <v>85</v>
      </c>
      <c r="C34" s="5" t="s">
        <v>43</v>
      </c>
    </row>
    <row r="35" spans="1:3" ht="165.75" x14ac:dyDescent="0.25">
      <c r="A35" s="11" t="s">
        <v>48</v>
      </c>
      <c r="B35" s="7" t="s">
        <v>86</v>
      </c>
      <c r="C35" s="6">
        <f>SUMIF(E19:E29,"Must have",F19:F29)</f>
        <v>32</v>
      </c>
    </row>
    <row r="36" spans="1:3" ht="178.5" x14ac:dyDescent="0.25">
      <c r="A36" s="12" t="s">
        <v>62</v>
      </c>
      <c r="B36" s="9" t="s">
        <v>87</v>
      </c>
      <c r="C36" s="8">
        <f>SUMIF(E19:E29,"Should have",F19:F29)</f>
        <v>15</v>
      </c>
    </row>
    <row r="37" spans="1:3" ht="140.25" x14ac:dyDescent="0.25">
      <c r="A37" s="11" t="s">
        <v>75</v>
      </c>
      <c r="B37" s="7" t="s">
        <v>88</v>
      </c>
      <c r="C37" s="6">
        <f>SUMIF(E19:E29,"Could have",F19:F29)</f>
        <v>3</v>
      </c>
    </row>
    <row r="38" spans="1:3" ht="127.5" x14ac:dyDescent="0.25">
      <c r="A38" s="12" t="s">
        <v>80</v>
      </c>
      <c r="B38" s="9" t="s">
        <v>89</v>
      </c>
      <c r="C38" s="8">
        <f>SUMIF(E19:E29,"Won't have",F19:F29)</f>
        <v>5</v>
      </c>
    </row>
  </sheetData>
  <mergeCells count="3">
    <mergeCell ref="A1:G1"/>
    <mergeCell ref="A2:G2"/>
    <mergeCell ref="A31:E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LUKAS ALEJANDRO GUERRERO ESPINDOLA</cp:lastModifiedBy>
  <cp:revision>0</cp:revision>
  <dcterms:created xsi:type="dcterms:W3CDTF">2026-08-30T16:56:01Z</dcterms:created>
  <dcterms:modified xsi:type="dcterms:W3CDTF">2026-08-30T19:01:18Z</dcterms:modified>
  <dc:language>en-US</dc:language>
</cp:coreProperties>
</file>